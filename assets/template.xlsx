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w.Kim\gkd\forks\fbm-excel-skill\assets\"/>
    </mc:Choice>
  </mc:AlternateContent>
  <xr:revisionPtr revIDLastSave="0" documentId="8_{53F67660-8192-435B-9877-5EFD94DB68B2}" xr6:coauthVersionLast="47" xr6:coauthVersionMax="47" xr10:uidLastSave="{00000000-0000-0000-0000-000000000000}"/>
  <bookViews>
    <workbookView xWindow="768" yWindow="768" windowWidth="34560" windowHeight="18648" xr2:uid="{6CCD779C-F5E7-4672-8593-8D78333E2E07}"/>
  </bookViews>
  <sheets>
    <sheet name="Cover" sheetId="1" r:id="rId1"/>
    <sheet name="Inputs" sheetId="2" r:id="rId2"/>
    <sheet name="Calc" sheetId="3" r:id="rId3"/>
    <sheet name="Output" sheetId="4" r:id="rId4"/>
    <sheet name="Reference" sheetId="5" r:id="rId5"/>
  </sheets>
  <definedNames>
    <definedName name="_xlnm._FilterDatabase" localSheetId="1" hidden="1">Inputs!$B$5:$F$5</definedName>
    <definedName name="AsOfDate">Cover!$C$14</definedName>
    <definedName name="Discount_Rate">Reference!$C$6</definedName>
    <definedName name="FY_End">Reference!$C$11</definedName>
    <definedName name="FY_Start">Reference!$C$10</definedName>
    <definedName name="Growth_Rate">Inputs!$C$7:$F$7</definedName>
    <definedName name="Inflation_Rate">Reference!$C$9</definedName>
    <definedName name="_xlnm.Print_Titles" localSheetId="2">Calc!$5:$5</definedName>
    <definedName name="_xlnm.Print_Titles" localSheetId="1">Inputs!$5:$5</definedName>
    <definedName name="_xlnm.Print_Titles" localSheetId="3">Output!$8:$8</definedName>
    <definedName name="ReportingCurrency">Cover!$C$16</definedName>
    <definedName name="Revenue_Input">Inputs!$C$6:$F$6</definedName>
    <definedName name="Scale">Cover!$C$15</definedName>
    <definedName name="Tax_Rate">Reference!$C$7</definedName>
    <definedName name="WACC">Reference!$C$8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3" i="4" l="1"/>
  <c r="F11" i="4"/>
  <c r="E11" i="4"/>
  <c r="D11" i="4"/>
  <c r="C11" i="4"/>
  <c r="F10" i="4"/>
  <c r="E10" i="4"/>
  <c r="D10" i="4"/>
  <c r="C10" i="4"/>
  <c r="F9" i="4"/>
  <c r="E9" i="4"/>
  <c r="D9" i="4"/>
  <c r="C9" i="4"/>
  <c r="G4" i="4"/>
  <c r="E4" i="4"/>
  <c r="C4" i="4"/>
  <c r="F9" i="3"/>
  <c r="E9" i="3"/>
  <c r="D9" i="3"/>
  <c r="C9" i="3"/>
  <c r="F8" i="3"/>
  <c r="E8" i="3"/>
  <c r="D8" i="3"/>
  <c r="C8" i="3"/>
  <c r="F7" i="3"/>
  <c r="E7" i="3"/>
  <c r="D7" i="3"/>
  <c r="C7" i="3"/>
  <c r="F6" i="3"/>
  <c r="E6" i="3"/>
  <c r="D6" i="3"/>
  <c r="C6" i="3"/>
  <c r="B26" i="1"/>
  <c r="B25" i="1"/>
  <c r="B24" i="1"/>
  <c r="B23" i="1"/>
</calcChain>
</file>

<file path=xl/sharedStrings.xml><?xml version="1.0" encoding="utf-8"?>
<sst xmlns="http://schemas.openxmlformats.org/spreadsheetml/2006/main" count="110" uniqueCount="94">
  <si>
    <t>FBM Excel Formatting Standard</t>
  </si>
  <si>
    <t>[Workbook Title]</t>
  </si>
  <si>
    <t>Prepared by:</t>
  </si>
  <si>
    <t>Andrew Kim</t>
  </si>
  <si>
    <t>Department:</t>
  </si>
  <si>
    <t>Operations FP&amp;A</t>
  </si>
  <si>
    <t>As-of date:</t>
  </si>
  <si>
    <t>Reporting scale:</t>
  </si>
  <si>
    <t>$ thousands</t>
  </si>
  <si>
    <t>Reporting currency:</t>
  </si>
  <si>
    <t>USD</t>
  </si>
  <si>
    <t>Contact:</t>
  </si>
  <si>
    <t>andrew.kim@fbm.com</t>
  </si>
  <si>
    <t>Version:</t>
  </si>
  <si>
    <t>File location:</t>
  </si>
  <si>
    <t>Purpose:</t>
  </si>
  <si>
    <t>Working template with cell styles, named ranges, example sheets</t>
  </si>
  <si>
    <t>Table of Contents</t>
  </si>
  <si>
    <t>Data Sources</t>
  </si>
  <si>
    <t>Source system</t>
  </si>
  <si>
    <t>Last refreshed</t>
  </si>
  <si>
    <t>Owner</t>
  </si>
  <si>
    <t>Notes</t>
  </si>
  <si>
    <t>[e.g. SAP S/4HANA]</t>
  </si>
  <si>
    <t>[YYYY-MM-DD]</t>
  </si>
  <si>
    <t>[name]</t>
  </si>
  <si>
    <t>[notes]</t>
  </si>
  <si>
    <t>Version History</t>
  </si>
  <si>
    <t>Version</t>
  </si>
  <si>
    <t>Date</t>
  </si>
  <si>
    <t>Author</t>
  </si>
  <si>
    <t>Note</t>
  </si>
  <si>
    <t>Initial release of v1.2 template (PR-A foundation + PR-B output polish).</t>
  </si>
  <si>
    <t>Cell Style Legend</t>
  </si>
  <si>
    <t>Cell Style</t>
  </si>
  <si>
    <t>Example</t>
  </si>
  <si>
    <t>Use For</t>
  </si>
  <si>
    <t>FBM Input</t>
  </si>
  <si>
    <t>Hardcoded inputs (blue text)</t>
  </si>
  <si>
    <t>FBM Formula</t>
  </si>
  <si>
    <t>Calculated formulas (black text)</t>
  </si>
  <si>
    <t>FBM Link</t>
  </si>
  <si>
    <t>Links from other sheets (green text)</t>
  </si>
  <si>
    <t>FBM External</t>
  </si>
  <si>
    <t>External file links (red text)</t>
  </si>
  <si>
    <t>FBM Assumption</t>
  </si>
  <si>
    <t>Key assumption (yellow fill, blue bold)</t>
  </si>
  <si>
    <t>Tab Color Coding</t>
  </si>
  <si>
    <t>Color</t>
  </si>
  <si>
    <t>Purpose</t>
  </si>
  <si>
    <t>Example Sheet</t>
  </si>
  <si>
    <t>Blue</t>
  </si>
  <si>
    <t>Inputs / data entry</t>
  </si>
  <si>
    <t>Inputs</t>
  </si>
  <si>
    <t>Green</t>
  </si>
  <si>
    <t>Outputs / results / summaries</t>
  </si>
  <si>
    <t>Output</t>
  </si>
  <si>
    <t>Gray</t>
  </si>
  <si>
    <t>Reference / lookup tables</t>
  </si>
  <si>
    <t>Reference</t>
  </si>
  <si>
    <t>FBM Confidential â€” Do Not Distribute</t>
  </si>
  <si>
    <t>Blue text cells are user-editable. Do not overwrite black formula cells.</t>
  </si>
  <si>
    <t>$ thousands (USD)</t>
  </si>
  <si>
    <t>Item</t>
  </si>
  <si>
    <t>FY2026</t>
  </si>
  <si>
    <t>FY2027</t>
  </si>
  <si>
    <t>FY2028</t>
  </si>
  <si>
    <t>FY2029</t>
  </si>
  <si>
    <t>Revenue ($)</t>
  </si>
  <si>
    <t>Growth rate (%)</t>
  </si>
  <si>
    <t>COGS ($)</t>
  </si>
  <si>
    <t>Headcount (#)</t>
  </si>
  <si>
    <t>Calculations</t>
  </si>
  <si>
    <t>Metric</t>
  </si>
  <si>
    <t>Revenue</t>
  </si>
  <si>
    <t>COGS</t>
  </si>
  <si>
    <t>Gross Profit</t>
  </si>
  <si>
    <t>Gross Margin %</t>
  </si>
  <si>
    <t>Output Summary</t>
  </si>
  <si>
    <t>FY2029 Revenue</t>
  </si>
  <si>
    <t>FY2029 Gross Profit</t>
  </si>
  <si>
    <t>FY2029 Gross Margin</t>
  </si>
  <si>
    <t>KPI</t>
  </si>
  <si>
    <t>Total Revenue (4Y)</t>
  </si>
  <si>
    <t>Reference / Lookup Tables</t>
  </si>
  <si>
    <t>Key</t>
  </si>
  <si>
    <t>Value</t>
  </si>
  <si>
    <t>Discount rate</t>
  </si>
  <si>
    <t>Tax rate</t>
  </si>
  <si>
    <t>WACC</t>
  </si>
  <si>
    <t>Inflation rate</t>
  </si>
  <si>
    <t>FY start month</t>
  </si>
  <si>
    <t>FY end month</t>
  </si>
  <si>
    <t>Working days/yr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</si>
</sst>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(&quot;$&quot;* #,##0_);_(&quot;$&quot;* \(#,##0\);_(&quot;$&quot;* &quot;-&quot;_);_(@_)"/>
    <numFmt numFmtId="41" formatCode="_(* #,##0_);_(* \(#,##0\);_(* &quot;-&quot;_);_(@_)"/>
    <numFmt numFmtId="164" formatCode="0.0%;\(0.0%\);&quot;-&quot;"/>
    <numFmt numFmtId="165" formatCode="mm/dd/yyyy"/>
    <numFmt numFmtId="166" formatCode="\+#,##0;\(#,##0\);&quot;-&quot;"/>
    <numFmt numFmtId="167" formatCode="\+&quot;$&quot;#,##0;\(&quot;$&quot;#,##0\);&quot;-&quot;"/>
    <numFmt numFmtId="168" formatCode="\+0.0%;\(0.0%\);&quot;-&quot;"/>
    <numFmt numFmtId="169" formatCode="\+0&quot; bps&quot;;\(0\)&quot; bps&quot;;&quot;-&quot;"/>
    <numFmt numFmtId="170" formatCode="&quot;$&quot;#,##0"/>
    <numFmt numFmtId="171" formatCode="0.0%"/>
  </numFmts>
  <fonts count="21" x14ac:knownFonts="1"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FF"/>
      <name val="Calibri"/>
      <family val="2"/>
    </font>
    <font>
      <sz val="9"/>
      <color rgb="FF000000"/>
      <name val="Calibri"/>
      <family val="2"/>
    </font>
    <font>
      <sz val="9"/>
      <color rgb="FF008000"/>
      <name val="Calibri"/>
      <family val="2"/>
    </font>
    <font>
      <sz val="9"/>
      <color rgb="FFFF0000"/>
      <name val="Calibri"/>
      <family val="2"/>
    </font>
    <font>
      <b/>
      <sz val="9"/>
      <color rgb="FF0000FF"/>
      <name val="Calibri"/>
      <family val="2"/>
    </font>
    <font>
      <b/>
      <sz val="10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93254"/>
      <name val="Calibri"/>
      <family val="2"/>
    </font>
    <font>
      <b/>
      <sz val="14"/>
      <color rgb="FF093254"/>
      <name val="Rockwell"/>
      <family val="1"/>
    </font>
    <font>
      <b/>
      <sz val="9"/>
      <color theme="1"/>
      <name val="Calibri"/>
      <family val="2"/>
    </font>
    <font>
      <b/>
      <sz val="9"/>
      <color rgb="FF000000"/>
      <name val="Calibri"/>
      <family val="2"/>
    </font>
    <font>
      <i/>
      <sz val="9"/>
      <color rgb="FF636466"/>
      <name val="Calibri"/>
      <family val="2"/>
    </font>
    <font>
      <b/>
      <sz val="24"/>
      <color rgb="FF093254"/>
      <name val="Rockwell"/>
      <family val="1"/>
    </font>
    <font>
      <b/>
      <sz val="20"/>
      <color rgb="FF093254"/>
      <name val="Rockwell"/>
      <family val="1"/>
    </font>
    <font>
      <sz val="14"/>
      <color rgb="FF636466"/>
      <name val="Calibri"/>
      <family val="2"/>
    </font>
    <font>
      <u/>
      <sz val="11"/>
      <color theme="10"/>
      <name val="Aptos Narrow"/>
      <family val="2"/>
      <scheme val="minor"/>
    </font>
    <font>
      <u/>
      <sz val="9"/>
      <color rgb="FF008000"/>
      <name val="Calibri"/>
      <family val="2"/>
    </font>
    <font>
      <b/>
      <sz val="11"/>
      <color rgb="FFFFFFFF"/>
      <name val="Aptos Narrow"/>
      <family val="2"/>
      <scheme val="minor"/>
    </font>
    <font>
      <i/>
      <sz val="9"/>
      <color rgb="FF63646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93254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005E34"/>
        <bgColor indexed="64"/>
      </patternFill>
    </fill>
    <fill>
      <patternFill patternType="solid">
        <fgColor rgb="FFA5A5A5"/>
        <bgColor indexed="64"/>
      </patternFill>
    </fill>
  </fills>
  <borders count="3">
    <border>
      <left/>
      <right/>
      <top/>
      <bottom/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thin">
        <color indexed="64"/>
      </left>
      <right/>
      <top/>
      <bottom/>
      <diagonal/>
    </border>
  </borders>
  <cellStyleXfs count="26">
    <xf numFmtId="0" fontId="0" fillId="0" borderId="0"/>
    <xf numFmtId="41" fontId="2" fillId="0" borderId="0"/>
    <xf numFmtId="42" fontId="2" fillId="0" borderId="0"/>
    <xf numFmtId="164" fontId="2" fillId="0" borderId="0"/>
    <xf numFmtId="41" fontId="3" fillId="0" borderId="0"/>
    <xf numFmtId="42" fontId="3" fillId="0" borderId="0"/>
    <xf numFmtId="164" fontId="3" fillId="0" borderId="0"/>
    <xf numFmtId="41" fontId="4" fillId="0" borderId="0"/>
    <xf numFmtId="41" fontId="5" fillId="0" borderId="0"/>
    <xf numFmtId="0" fontId="6" fillId="2" borderId="0"/>
    <xf numFmtId="0" fontId="8" fillId="3" borderId="1">
      <alignment horizontal="center" vertical="center"/>
    </xf>
    <xf numFmtId="0" fontId="9" fillId="4" borderId="1">
      <alignment horizontal="left"/>
    </xf>
    <xf numFmtId="0" fontId="10" fillId="0" borderId="0"/>
    <xf numFmtId="41" fontId="12" fillId="0" borderId="0"/>
    <xf numFmtId="165" fontId="3" fillId="0" borderId="0"/>
    <xf numFmtId="49" fontId="3" fillId="0" borderId="0">
      <alignment horizontal="center"/>
    </xf>
    <xf numFmtId="0" fontId="13" fillId="0" borderId="0">
      <alignment horizontal="left" vertical="center"/>
    </xf>
    <xf numFmtId="0" fontId="13" fillId="0" borderId="0">
      <alignment horizontal="center" vertical="center"/>
    </xf>
    <xf numFmtId="166" fontId="3" fillId="0" borderId="0"/>
    <xf numFmtId="167" fontId="3" fillId="0" borderId="0"/>
    <xf numFmtId="168" fontId="3" fillId="0" borderId="0"/>
    <xf numFmtId="169" fontId="3" fillId="0" borderId="0"/>
    <xf numFmtId="0" fontId="3" fillId="5" borderId="0"/>
    <xf numFmtId="0" fontId="14" fillId="0" borderId="0">
      <alignment horizontal="center" vertical="center"/>
    </xf>
    <xf numFmtId="0" fontId="13" fillId="0" borderId="0">
      <alignment horizontal="center" vertical="center"/>
    </xf>
    <xf numFmtId="0" fontId="17" fillId="0" borderId="0" applyNumberFormat="0" applyFill="0" applyBorder="0" applyAlignment="0" applyProtection="0"/>
  </cellStyleXfs>
  <cellXfs count="37">
    <xf numFmtId="0" fontId="0" fillId="0" borderId="0" xfId="0"/>
    <xf numFmtId="0" fontId="10" fillId="0" borderId="0" xfId="12"/>
    <xf numFmtId="0" fontId="15" fillId="0" borderId="0" xfId="12" applyFont="1"/>
    <xf numFmtId="0" fontId="16" fillId="0" borderId="0" xfId="0" applyFont="1"/>
    <xf numFmtId="0" fontId="7" fillId="0" borderId="0" xfId="0" applyFont="1"/>
    <xf numFmtId="41" fontId="2" fillId="0" borderId="0" xfId="1"/>
    <xf numFmtId="165" fontId="2" fillId="0" borderId="0" xfId="14" applyFont="1"/>
    <xf numFmtId="0" fontId="9" fillId="4" borderId="2" xfId="11" applyBorder="1">
      <alignment horizontal="left"/>
    </xf>
    <xf numFmtId="0" fontId="9" fillId="4" borderId="0" xfId="11" applyBorder="1">
      <alignment horizontal="left"/>
    </xf>
    <xf numFmtId="0" fontId="18" fillId="0" borderId="0" xfId="25" applyFont="1"/>
    <xf numFmtId="0" fontId="8" fillId="3" borderId="1" xfId="10">
      <alignment horizontal="center" vertical="center"/>
    </xf>
    <xf numFmtId="0" fontId="1" fillId="0" borderId="0" xfId="0" applyFont="1"/>
    <xf numFmtId="14" fontId="1" fillId="0" borderId="0" xfId="0" applyNumberFormat="1" applyFont="1"/>
    <xf numFmtId="41" fontId="3" fillId="0" borderId="0" xfId="4"/>
    <xf numFmtId="41" fontId="4" fillId="0" borderId="0" xfId="7"/>
    <xf numFmtId="41" fontId="5" fillId="0" borderId="0" xfId="8"/>
    <xf numFmtId="164" fontId="6" fillId="2" borderId="0" xfId="9" applyNumberFormat="1"/>
    <xf numFmtId="0" fontId="19" fillId="6" borderId="0" xfId="0" applyFont="1" applyFill="1"/>
    <xf numFmtId="0" fontId="19" fillId="7" borderId="0" xfId="0" applyFont="1" applyFill="1"/>
    <xf numFmtId="0" fontId="19" fillId="8" borderId="0" xfId="0" applyFont="1" applyFill="1"/>
    <xf numFmtId="0" fontId="20" fillId="0" borderId="0" xfId="0" applyFont="1"/>
    <xf numFmtId="0" fontId="20" fillId="0" borderId="0" xfId="0" applyFont="1"/>
    <xf numFmtId="0" fontId="13" fillId="0" borderId="0" xfId="16">
      <alignment horizontal="left" vertical="center"/>
    </xf>
    <xf numFmtId="0" fontId="13" fillId="0" borderId="0" xfId="17">
      <alignment horizontal="center" vertical="center"/>
    </xf>
    <xf numFmtId="0" fontId="8" fillId="3" borderId="1" xfId="10" applyAlignment="1">
      <alignment horizontal="right" vertical="center"/>
    </xf>
    <xf numFmtId="42" fontId="2" fillId="0" borderId="0" xfId="2"/>
    <xf numFmtId="164" fontId="2" fillId="0" borderId="0" xfId="3"/>
    <xf numFmtId="42" fontId="4" fillId="0" borderId="0" xfId="7" applyNumberFormat="1"/>
    <xf numFmtId="42" fontId="3" fillId="0" borderId="0" xfId="5"/>
    <xf numFmtId="164" fontId="3" fillId="0" borderId="0" xfId="6"/>
    <xf numFmtId="170" fontId="14" fillId="0" borderId="0" xfId="23" applyNumberFormat="1">
      <alignment horizontal="center" vertical="center"/>
    </xf>
    <xf numFmtId="0" fontId="13" fillId="0" borderId="0" xfId="24">
      <alignment horizontal="center" vertical="center"/>
    </xf>
    <xf numFmtId="171" fontId="14" fillId="0" borderId="0" xfId="23" applyNumberFormat="1">
      <alignment horizontal="center" vertical="center"/>
    </xf>
    <xf numFmtId="164" fontId="4" fillId="0" borderId="0" xfId="7" applyNumberFormat="1"/>
    <xf numFmtId="0" fontId="11" fillId="0" borderId="0" xfId="0" applyFont="1"/>
    <xf numFmtId="42" fontId="12" fillId="0" borderId="0" xfId="13" applyNumberFormat="1"/>
    <xf numFmtId="164" fontId="2" fillId="0" borderId="0" xfId="1" applyNumberFormat="1"/>
  </cellXfs>
  <cellStyles count="26">
    <cellStyle name="FBM Assumption" xfId="9" xr:uid="{E880336C-8A72-4A94-9EE2-CA633939DF53}"/>
    <cellStyle name="FBM Band" xfId="22" xr:uid="{40FB81D0-82AA-4F50-AD09-DAAC26BC2221}"/>
    <cellStyle name="FBM Date" xfId="14" xr:uid="{C7DA40D7-CB67-42E8-B66F-0F46452C7708}"/>
    <cellStyle name="FBM External" xfId="8" xr:uid="{450CA289-8CA1-4486-89AD-B8A31E8F6E9D}"/>
    <cellStyle name="FBM Formula" xfId="4" xr:uid="{DBDA0E8A-F60B-4811-A3DB-B1A4E44A2010}"/>
    <cellStyle name="FBM Formula $" xfId="5" xr:uid="{52F61E3A-3BC7-4697-9E4F-A534AAB5FFB7}"/>
    <cellStyle name="FBM Formula %" xfId="6" xr:uid="{B5BC99A7-B76B-432B-B305-E8B24096F4A2}"/>
    <cellStyle name="FBM Header" xfId="10" xr:uid="{5C4EFE83-9D00-4259-8FAE-CA4FB68DB63E}"/>
    <cellStyle name="FBM Input" xfId="1" xr:uid="{1E82695E-0C83-4964-9B6D-0F65939C2C20}"/>
    <cellStyle name="FBM Input $" xfId="2" xr:uid="{E84246DF-2131-4296-B361-C5877FA1139B}"/>
    <cellStyle name="FBM Input %" xfId="3" xr:uid="{59F69B06-378E-4E65-8829-EE1D08825540}"/>
    <cellStyle name="FBM KPI Big" xfId="23" xr:uid="{9D03FCD5-8812-4371-A6F7-F7E45E0BEDB6}"/>
    <cellStyle name="FBM KPI Label" xfId="24" xr:uid="{ED06428F-4F6C-43EA-87B9-80B43858C633}"/>
    <cellStyle name="FBM Link" xfId="7" xr:uid="{53907B19-7A04-4E6D-B94E-AAA4E0E2FB91}"/>
    <cellStyle name="FBM Subheader" xfId="11" xr:uid="{EF0ED9C6-2A71-42FA-AFAC-F9A1CCE984CE}"/>
    <cellStyle name="FBM Subtitle" xfId="16" xr:uid="{314024F5-DDE1-4D84-93C5-6671338E3DA3}"/>
    <cellStyle name="FBM Title" xfId="12" xr:uid="{41D624D5-74C0-4EEA-B984-5E51DE1BF0E2}"/>
    <cellStyle name="FBM Total" xfId="13" xr:uid="{79434CE1-C74C-45C4-8AA8-F9EEFF29D548}"/>
    <cellStyle name="FBM Units" xfId="17" xr:uid="{0FD30B3E-87B3-4880-88E3-A42586797FF0}"/>
    <cellStyle name="FBM Variance" xfId="18" xr:uid="{FB8F8110-8555-411A-9D71-BD7D2E3282F6}"/>
    <cellStyle name="FBM Variance $" xfId="19" xr:uid="{DF6F6B63-DECE-485B-8E11-24C2E1FF05B9}"/>
    <cellStyle name="FBM Variance %" xfId="20" xr:uid="{7A4DB95D-1FA1-4E7B-99C0-A3B785A74493}"/>
    <cellStyle name="FBM Variance bps" xfId="21" xr:uid="{250F2E4D-62A7-4A8C-BED4-BA433E54B239}"/>
    <cellStyle name="FBM Year" xfId="15" xr:uid="{1A127C03-C751-4FA9-8ADF-2CA3CD77E670}"/>
    <cellStyle name="Hyperlink" xfId="25" builtinId="8"/>
    <cellStyle name="Normal" xfId="0" builtinId="0"/>
  </cellStyles>
  <dxfs count="4">
    <dxf>
      <fill>
        <patternFill>
          <bgColor rgb="FFF7F7F7"/>
        </patternFill>
      </fill>
    </dxf>
    <dxf>
      <fill>
        <patternFill>
          <bgColor rgb="FFF7F7F7"/>
        </patternFill>
      </fill>
    </dxf>
    <dxf>
      <fill>
        <patternFill>
          <bgColor rgb="FFF7F7F7"/>
        </patternFill>
      </fill>
    </dxf>
    <dxf>
      <fill>
        <patternFill>
          <bgColor rgb="FFF7F7F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381000</xdr:colOff>
      <xdr:row>1</xdr:row>
      <xdr:rowOff>71120</xdr:rowOff>
    </xdr:from>
    <xdr:to>
      <xdr:col>2</xdr:col>
      <xdr:colOff>414020</xdr:colOff>
      <xdr:row>7</xdr:row>
      <xdr:rowOff>116840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78CF97D-4E5E-4A70-C671-1D3E9B726E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254000"/>
          <a:ext cx="2540000" cy="1143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29372-47A8-498F-B0ED-4D9B3B76F385}">
  <sheetPr>
    <tabColor rgb="FF093254"/>
  </sheetPr>
  <dimension ref="B8:E56"/>
  <sheetViews>
    <sheetView showGridLines="0" tabSelected="1" workbookViewId="0"/>
  </sheetViews>
  <sheetFormatPr defaultRowHeight="14.4" x14ac:dyDescent="0.3"/>
  <cols>
    <col min="1" max="1" width="5.77734375" customWidth="1"/>
    <col min="2" max="2" width="30.77734375" customWidth="1"/>
    <col min="3" max="10" width="15.77734375" customWidth="1"/>
  </cols>
  <sheetData>
    <row r="8" spans="2:3" ht="30" customHeight="1" x14ac:dyDescent="0.5">
      <c r="B8" s="2" t="s">
        <v>0</v>
      </c>
    </row>
    <row r="10" spans="2:3" ht="18" x14ac:dyDescent="0.35">
      <c r="B10" s="3" t="s">
        <v>1</v>
      </c>
    </row>
    <row r="12" spans="2:3" x14ac:dyDescent="0.3">
      <c r="B12" s="4" t="s">
        <v>2</v>
      </c>
      <c r="C12" s="5" t="s">
        <v>3</v>
      </c>
    </row>
    <row r="13" spans="2:3" x14ac:dyDescent="0.3">
      <c r="B13" s="4" t="s">
        <v>4</v>
      </c>
      <c r="C13" s="5" t="s">
        <v>5</v>
      </c>
    </row>
    <row r="14" spans="2:3" x14ac:dyDescent="0.3">
      <c r="B14" s="4" t="s">
        <v>6</v>
      </c>
      <c r="C14" s="6">
        <v>46171</v>
      </c>
    </row>
    <row r="15" spans="2:3" x14ac:dyDescent="0.3">
      <c r="B15" s="4" t="s">
        <v>7</v>
      </c>
      <c r="C15" s="5" t="s">
        <v>8</v>
      </c>
    </row>
    <row r="16" spans="2:3" x14ac:dyDescent="0.3">
      <c r="B16" s="4" t="s">
        <v>9</v>
      </c>
      <c r="C16" s="5" t="s">
        <v>10</v>
      </c>
    </row>
    <row r="17" spans="2:5" x14ac:dyDescent="0.3">
      <c r="B17" s="4" t="s">
        <v>11</v>
      </c>
      <c r="C17" s="5" t="s">
        <v>12</v>
      </c>
    </row>
    <row r="18" spans="2:5" x14ac:dyDescent="0.3">
      <c r="B18" s="4" t="s">
        <v>13</v>
      </c>
      <c r="C18" s="5">
        <v>1.2</v>
      </c>
    </row>
    <row r="19" spans="2:5" x14ac:dyDescent="0.3">
      <c r="B19" s="4" t="s">
        <v>14</v>
      </c>
      <c r="C19" s="5"/>
    </row>
    <row r="20" spans="2:5" x14ac:dyDescent="0.3">
      <c r="B20" s="4" t="s">
        <v>15</v>
      </c>
      <c r="C20" s="5" t="s">
        <v>16</v>
      </c>
    </row>
    <row r="22" spans="2:5" x14ac:dyDescent="0.3">
      <c r="B22" s="7" t="s">
        <v>17</v>
      </c>
      <c r="C22" s="8"/>
      <c r="D22" s="8"/>
    </row>
    <row r="23" spans="2:5" x14ac:dyDescent="0.3">
      <c r="B23" s="9" t="str">
        <f>HYPERLINK("#'Inputs'!A1","Inputs")</f>
        <v>Inputs</v>
      </c>
    </row>
    <row r="24" spans="2:5" x14ac:dyDescent="0.3">
      <c r="B24" s="9" t="str">
        <f>HYPERLINK("#'Calc'!A1","Calc")</f>
        <v>Calc</v>
      </c>
    </row>
    <row r="25" spans="2:5" x14ac:dyDescent="0.3">
      <c r="B25" s="9" t="str">
        <f>HYPERLINK("#'Output'!A1","Output")</f>
        <v>Output</v>
      </c>
    </row>
    <row r="26" spans="2:5" x14ac:dyDescent="0.3">
      <c r="B26" s="9" t="str">
        <f>HYPERLINK("#'Reference'!A1","Reference")</f>
        <v>Reference</v>
      </c>
    </row>
    <row r="29" spans="2:5" x14ac:dyDescent="0.3">
      <c r="B29" s="7" t="s">
        <v>18</v>
      </c>
      <c r="C29" s="8"/>
      <c r="D29" s="8"/>
      <c r="E29" s="8"/>
    </row>
    <row r="30" spans="2:5" x14ac:dyDescent="0.3">
      <c r="B30" s="10" t="s">
        <v>19</v>
      </c>
      <c r="C30" s="10" t="s">
        <v>20</v>
      </c>
      <c r="D30" s="10" t="s">
        <v>21</v>
      </c>
      <c r="E30" s="10" t="s">
        <v>22</v>
      </c>
    </row>
    <row r="31" spans="2:5" x14ac:dyDescent="0.3">
      <c r="B31" s="11" t="s">
        <v>23</v>
      </c>
      <c r="C31" s="11" t="s">
        <v>24</v>
      </c>
      <c r="D31" s="11" t="s">
        <v>25</v>
      </c>
      <c r="E31" s="11" t="s">
        <v>26</v>
      </c>
    </row>
    <row r="35" spans="2:5" x14ac:dyDescent="0.3">
      <c r="B35" s="7" t="s">
        <v>27</v>
      </c>
      <c r="C35" s="8"/>
      <c r="D35" s="8"/>
      <c r="E35" s="8"/>
    </row>
    <row r="36" spans="2:5" x14ac:dyDescent="0.3">
      <c r="B36" s="10" t="s">
        <v>28</v>
      </c>
      <c r="C36" s="10" t="s">
        <v>29</v>
      </c>
      <c r="D36" s="10" t="s">
        <v>30</v>
      </c>
      <c r="E36" s="10" t="s">
        <v>31</v>
      </c>
    </row>
    <row r="37" spans="2:5" x14ac:dyDescent="0.3">
      <c r="B37" s="11">
        <v>1.2</v>
      </c>
      <c r="C37" s="12">
        <v>46171</v>
      </c>
      <c r="D37" s="11" t="s">
        <v>3</v>
      </c>
      <c r="E37" s="11" t="s">
        <v>32</v>
      </c>
    </row>
    <row r="42" spans="2:5" x14ac:dyDescent="0.3">
      <c r="B42" s="7" t="s">
        <v>33</v>
      </c>
      <c r="C42" s="8"/>
      <c r="D42" s="8"/>
    </row>
    <row r="43" spans="2:5" x14ac:dyDescent="0.3">
      <c r="B43" s="10" t="s">
        <v>34</v>
      </c>
      <c r="C43" s="10" t="s">
        <v>35</v>
      </c>
      <c r="D43" s="10" t="s">
        <v>36</v>
      </c>
    </row>
    <row r="44" spans="2:5" x14ac:dyDescent="0.3">
      <c r="B44" t="s">
        <v>37</v>
      </c>
      <c r="C44" s="5">
        <v>1000</v>
      </c>
      <c r="D44" s="11" t="s">
        <v>38</v>
      </c>
    </row>
    <row r="45" spans="2:5" x14ac:dyDescent="0.3">
      <c r="B45" t="s">
        <v>39</v>
      </c>
      <c r="C45" s="13">
        <v>2000</v>
      </c>
      <c r="D45" s="11" t="s">
        <v>40</v>
      </c>
    </row>
    <row r="46" spans="2:5" x14ac:dyDescent="0.3">
      <c r="B46" t="s">
        <v>41</v>
      </c>
      <c r="C46" s="14">
        <v>3000</v>
      </c>
      <c r="D46" s="11" t="s">
        <v>42</v>
      </c>
    </row>
    <row r="47" spans="2:5" x14ac:dyDescent="0.3">
      <c r="B47" t="s">
        <v>43</v>
      </c>
      <c r="C47" s="15">
        <v>4000</v>
      </c>
      <c r="D47" s="11" t="s">
        <v>44</v>
      </c>
    </row>
    <row r="48" spans="2:5" x14ac:dyDescent="0.3">
      <c r="B48" t="s">
        <v>45</v>
      </c>
      <c r="C48" s="16">
        <v>0.1</v>
      </c>
      <c r="D48" s="11" t="s">
        <v>46</v>
      </c>
    </row>
    <row r="50" spans="2:5" x14ac:dyDescent="0.3">
      <c r="B50" s="7" t="s">
        <v>47</v>
      </c>
      <c r="C50" s="8"/>
      <c r="D50" s="8"/>
    </row>
    <row r="51" spans="2:5" x14ac:dyDescent="0.3">
      <c r="B51" s="10" t="s">
        <v>48</v>
      </c>
      <c r="C51" s="10" t="s">
        <v>49</v>
      </c>
      <c r="D51" s="10" t="s">
        <v>50</v>
      </c>
    </row>
    <row r="52" spans="2:5" x14ac:dyDescent="0.3">
      <c r="B52" s="17" t="s">
        <v>51</v>
      </c>
      <c r="C52" t="s">
        <v>52</v>
      </c>
      <c r="D52" t="s">
        <v>53</v>
      </c>
    </row>
    <row r="53" spans="2:5" x14ac:dyDescent="0.3">
      <c r="B53" s="18" t="s">
        <v>54</v>
      </c>
      <c r="C53" t="s">
        <v>55</v>
      </c>
      <c r="D53" t="s">
        <v>56</v>
      </c>
    </row>
    <row r="54" spans="2:5" x14ac:dyDescent="0.3">
      <c r="B54" s="19" t="s">
        <v>57</v>
      </c>
      <c r="C54" t="s">
        <v>58</v>
      </c>
      <c r="D54" t="s">
        <v>59</v>
      </c>
    </row>
    <row r="56" spans="2:5" x14ac:dyDescent="0.3">
      <c r="B56" s="21" t="s">
        <v>60</v>
      </c>
      <c r="C56" s="21"/>
      <c r="D56" s="21"/>
      <c r="E56" s="21"/>
    </row>
  </sheetData>
  <mergeCells count="6">
    <mergeCell ref="B22:D22"/>
    <mergeCell ref="B29:E29"/>
    <mergeCell ref="B35:E35"/>
    <mergeCell ref="B42:D42"/>
    <mergeCell ref="B50:D50"/>
    <mergeCell ref="B56:E56"/>
  </mergeCells>
  <pageMargins left="0.5" right="0.5" top="0.5" bottom="0.5" header="0.3" footer="0.3"/>
  <pageSetup orientation="portrait" r:id="rId1"/>
  <headerFooter>
    <oddHeader>&amp;C&amp;"Calibri,Bold"&amp;14FBM Excel Formatting Standard</oddHeader>
    <oddFooter>&amp;L&amp;F&amp;C&amp;D  ·  v1.2  ·  As of 05/29/2026&amp;R&amp;P of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502A3-9C52-4270-99C9-763E766B38B8}">
  <sheetPr>
    <tabColor rgb="FF1F4E79"/>
    <pageSetUpPr fitToPage="1"/>
  </sheetPr>
  <dimension ref="B2:F25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4.4" x14ac:dyDescent="0.3"/>
  <cols>
    <col min="1" max="1" width="5.77734375" customWidth="1"/>
    <col min="2" max="2" width="30.77734375" customWidth="1"/>
    <col min="3" max="10" width="15.77734375" customWidth="1"/>
  </cols>
  <sheetData>
    <row r="2" spans="2:6" ht="24" customHeight="1" x14ac:dyDescent="0.35">
      <c r="B2" s="1" t="s">
        <v>53</v>
      </c>
    </row>
    <row r="3" spans="2:6" ht="16.05" customHeight="1" x14ac:dyDescent="0.3">
      <c r="B3" s="22" t="s">
        <v>61</v>
      </c>
    </row>
    <row r="4" spans="2:6" ht="16.05" customHeight="1" x14ac:dyDescent="0.3">
      <c r="C4" s="23" t="s">
        <v>62</v>
      </c>
      <c r="D4" s="23"/>
      <c r="E4" s="23"/>
      <c r="F4" s="23"/>
    </row>
    <row r="5" spans="2:6" ht="18" customHeight="1" x14ac:dyDescent="0.3">
      <c r="B5" s="10" t="s">
        <v>63</v>
      </c>
      <c r="C5" s="24" t="s">
        <v>64</v>
      </c>
      <c r="D5" s="24" t="s">
        <v>65</v>
      </c>
      <c r="E5" s="24" t="s">
        <v>66</v>
      </c>
      <c r="F5" s="24" t="s">
        <v>67</v>
      </c>
    </row>
    <row r="6" spans="2:6" ht="16.05" customHeight="1" x14ac:dyDescent="0.3">
      <c r="B6" s="11" t="s">
        <v>68</v>
      </c>
      <c r="C6" s="25">
        <v>10000000</v>
      </c>
      <c r="D6" s="25">
        <v>10500000</v>
      </c>
      <c r="E6" s="25">
        <v>11025000</v>
      </c>
      <c r="F6" s="25">
        <v>11576250</v>
      </c>
    </row>
    <row r="7" spans="2:6" ht="16.05" customHeight="1" x14ac:dyDescent="0.3">
      <c r="B7" s="11" t="s">
        <v>69</v>
      </c>
      <c r="C7" s="26">
        <v>0.05</v>
      </c>
      <c r="D7" s="26">
        <v>0.05</v>
      </c>
      <c r="E7" s="26">
        <v>0.05</v>
      </c>
      <c r="F7" s="26">
        <v>0.05</v>
      </c>
    </row>
    <row r="8" spans="2:6" ht="16.05" customHeight="1" x14ac:dyDescent="0.3">
      <c r="B8" s="11" t="s">
        <v>70</v>
      </c>
      <c r="C8" s="25">
        <v>6000000</v>
      </c>
      <c r="D8" s="25">
        <v>6300000</v>
      </c>
      <c r="E8" s="25">
        <v>6615000</v>
      </c>
      <c r="F8" s="25">
        <v>6945750</v>
      </c>
    </row>
    <row r="9" spans="2:6" ht="16.05" customHeight="1" x14ac:dyDescent="0.3">
      <c r="B9" s="11" t="s">
        <v>71</v>
      </c>
      <c r="C9" s="5">
        <v>50</v>
      </c>
      <c r="D9" s="5">
        <v>52</v>
      </c>
      <c r="E9" s="5">
        <v>55</v>
      </c>
      <c r="F9" s="5">
        <v>58</v>
      </c>
    </row>
    <row r="10" spans="2:6" ht="16.05" customHeight="1" x14ac:dyDescent="0.3"/>
    <row r="11" spans="2:6" ht="16.05" customHeight="1" x14ac:dyDescent="0.3"/>
    <row r="12" spans="2:6" ht="16.05" customHeight="1" x14ac:dyDescent="0.3"/>
    <row r="13" spans="2:6" ht="16.05" customHeight="1" x14ac:dyDescent="0.3"/>
    <row r="14" spans="2:6" ht="16.05" customHeight="1" x14ac:dyDescent="0.3"/>
    <row r="15" spans="2:6" ht="16.05" customHeight="1" x14ac:dyDescent="0.3"/>
    <row r="16" spans="2:6" ht="16.05" customHeight="1" x14ac:dyDescent="0.3"/>
    <row r="17" ht="16.05" customHeight="1" x14ac:dyDescent="0.3"/>
    <row r="18" ht="16.05" customHeight="1" x14ac:dyDescent="0.3"/>
    <row r="19" ht="16.05" customHeight="1" x14ac:dyDescent="0.3"/>
    <row r="20" ht="16.05" customHeight="1" x14ac:dyDescent="0.3"/>
    <row r="21" ht="16.05" customHeight="1" x14ac:dyDescent="0.3"/>
    <row r="22" ht="16.05" customHeight="1" x14ac:dyDescent="0.3"/>
    <row r="23" ht="16.05" customHeight="1" x14ac:dyDescent="0.3"/>
    <row r="24" ht="16.05" customHeight="1" x14ac:dyDescent="0.3"/>
    <row r="25" ht="16.05" customHeight="1" x14ac:dyDescent="0.3"/>
  </sheetData>
  <autoFilter ref="B5:F5" xr:uid="{21A502A3-9C52-4270-99C9-763E766B38B8}"/>
  <mergeCells count="1">
    <mergeCell ref="C4:F4"/>
  </mergeCells>
  <conditionalFormatting sqref="B6:F45">
    <cfRule type="expression" dxfId="3" priority="1" stopIfTrue="1">
      <formula>MOD(ROW(),2)=0</formula>
    </cfRule>
  </conditionalFormatting>
  <pageMargins left="0.5" right="0.5" top="0.75" bottom="0.5" header="0.3" footer="0.3"/>
  <pageSetup fitToHeight="0" orientation="landscape" r:id="rId1"/>
  <headerFooter>
    <oddHeader>&amp;C&amp;"Calibri,Bold"&amp;12Inputs&amp;L&amp;G</oddHeader>
    <oddFooter>&amp;L&amp;F&amp;C&amp;D  ·  v1.2  ·  As of 05/29/2026&amp;R&amp;P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88DDD-2087-4FEA-943B-79F183927A39}">
  <sheetPr>
    <pageSetUpPr fitToPage="1"/>
  </sheetPr>
  <dimension ref="B2:F25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4.4" x14ac:dyDescent="0.3"/>
  <cols>
    <col min="1" max="1" width="5.77734375" customWidth="1"/>
    <col min="2" max="2" width="30.77734375" customWidth="1"/>
    <col min="3" max="10" width="15.77734375" customWidth="1"/>
  </cols>
  <sheetData>
    <row r="2" spans="2:6" ht="24" customHeight="1" x14ac:dyDescent="0.35">
      <c r="B2" s="1" t="s">
        <v>72</v>
      </c>
    </row>
    <row r="4" spans="2:6" ht="16.05" customHeight="1" x14ac:dyDescent="0.3">
      <c r="C4" s="23" t="s">
        <v>62</v>
      </c>
      <c r="D4" s="23"/>
      <c r="E4" s="23"/>
      <c r="F4" s="23"/>
    </row>
    <row r="5" spans="2:6" ht="18" customHeight="1" x14ac:dyDescent="0.3">
      <c r="B5" s="10" t="s">
        <v>73</v>
      </c>
      <c r="C5" s="24" t="s">
        <v>64</v>
      </c>
      <c r="D5" s="24" t="s">
        <v>65</v>
      </c>
      <c r="E5" s="24" t="s">
        <v>66</v>
      </c>
      <c r="F5" s="24" t="s">
        <v>67</v>
      </c>
    </row>
    <row r="6" spans="2:6" ht="16.05" customHeight="1" x14ac:dyDescent="0.3">
      <c r="B6" s="11" t="s">
        <v>74</v>
      </c>
      <c r="C6" s="27">
        <f>Inputs!C6</f>
        <v>10000000</v>
      </c>
      <c r="D6" s="27">
        <f>Inputs!D6</f>
        <v>10500000</v>
      </c>
      <c r="E6" s="27">
        <f>Inputs!E6</f>
        <v>11025000</v>
      </c>
      <c r="F6" s="27">
        <f>Inputs!F6</f>
        <v>11576250</v>
      </c>
    </row>
    <row r="7" spans="2:6" ht="16.05" customHeight="1" x14ac:dyDescent="0.3">
      <c r="B7" s="11" t="s">
        <v>75</v>
      </c>
      <c r="C7" s="27">
        <f>Inputs!C8</f>
        <v>6000000</v>
      </c>
      <c r="D7" s="27">
        <f>Inputs!D8</f>
        <v>6300000</v>
      </c>
      <c r="E7" s="27">
        <f>Inputs!E8</f>
        <v>6615000</v>
      </c>
      <c r="F7" s="27">
        <f>Inputs!F8</f>
        <v>6945750</v>
      </c>
    </row>
    <row r="8" spans="2:6" ht="16.05" customHeight="1" x14ac:dyDescent="0.3">
      <c r="B8" s="11" t="s">
        <v>76</v>
      </c>
      <c r="C8" s="28">
        <f>C6-C7</f>
        <v>4000000</v>
      </c>
      <c r="D8" s="28">
        <f>D6-D7</f>
        <v>4200000</v>
      </c>
      <c r="E8" s="28">
        <f>E6-E7</f>
        <v>4410000</v>
      </c>
      <c r="F8" s="28">
        <f>F6-F7</f>
        <v>4630500</v>
      </c>
    </row>
    <row r="9" spans="2:6" ht="16.05" customHeight="1" x14ac:dyDescent="0.3">
      <c r="B9" s="11" t="s">
        <v>77</v>
      </c>
      <c r="C9" s="29">
        <f>IFERROR(C8/C6,0)</f>
        <v>0.4</v>
      </c>
      <c r="D9" s="29">
        <f>IFERROR(D8/D6,0)</f>
        <v>0.4</v>
      </c>
      <c r="E9" s="29">
        <f>IFERROR(E8/E6,0)</f>
        <v>0.4</v>
      </c>
      <c r="F9" s="29">
        <f>IFERROR(F8/F6,0)</f>
        <v>0.4</v>
      </c>
    </row>
    <row r="10" spans="2:6" ht="16.05" customHeight="1" x14ac:dyDescent="0.3"/>
    <row r="11" spans="2:6" ht="16.05" customHeight="1" x14ac:dyDescent="0.3"/>
    <row r="12" spans="2:6" ht="16.05" customHeight="1" x14ac:dyDescent="0.3"/>
    <row r="13" spans="2:6" ht="16.05" customHeight="1" x14ac:dyDescent="0.3"/>
    <row r="14" spans="2:6" ht="16.05" customHeight="1" x14ac:dyDescent="0.3"/>
    <row r="15" spans="2:6" ht="16.05" customHeight="1" x14ac:dyDescent="0.3"/>
    <row r="16" spans="2:6" ht="16.05" customHeight="1" x14ac:dyDescent="0.3"/>
    <row r="17" ht="16.05" customHeight="1" x14ac:dyDescent="0.3"/>
    <row r="18" ht="16.05" customHeight="1" x14ac:dyDescent="0.3"/>
    <row r="19" ht="16.05" customHeight="1" x14ac:dyDescent="0.3"/>
    <row r="20" ht="16.05" customHeight="1" x14ac:dyDescent="0.3"/>
    <row r="21" ht="16.05" customHeight="1" x14ac:dyDescent="0.3"/>
    <row r="22" ht="16.05" customHeight="1" x14ac:dyDescent="0.3"/>
    <row r="23" ht="16.05" customHeight="1" x14ac:dyDescent="0.3"/>
    <row r="24" ht="16.05" customHeight="1" x14ac:dyDescent="0.3"/>
    <row r="25" ht="16.05" customHeight="1" x14ac:dyDescent="0.3"/>
  </sheetData>
  <mergeCells count="1">
    <mergeCell ref="C4:F4"/>
  </mergeCells>
  <conditionalFormatting sqref="C9:F9">
    <cfRule type="iconSet" priority="1">
      <iconSet iconSet="3Arrows">
        <cfvo type="percent" val="0"/>
        <cfvo type="num" val="0.3"/>
        <cfvo type="num" val="0.4"/>
      </iconSet>
    </cfRule>
  </conditionalFormatting>
  <conditionalFormatting sqref="B6:F45">
    <cfRule type="expression" dxfId="2" priority="2" stopIfTrue="1">
      <formula>MOD(ROW(),2)=0</formula>
    </cfRule>
  </conditionalFormatting>
  <pageMargins left="0.7" right="0.7" top="0.75" bottom="0.75" header="0.3" footer="0.3"/>
  <pageSetup fitToHeight="0" orientation="landscape" r:id="rId1"/>
  <headerFooter>
    <oddHeader>&amp;C&amp;"Calibri,Bold"&amp;12Calculations</oddHeader>
    <oddFooter>&amp;L&amp;F&amp;C&amp;D  ·  v1.2  ·  As of 05/29/2026&amp;R&amp;P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F5794-4E7A-4727-94E7-7F6FC89D264E}">
  <sheetPr>
    <tabColor rgb="FF005E34"/>
    <pageSetUpPr fitToPage="1"/>
  </sheetPr>
  <dimension ref="B2:G15"/>
  <sheetViews>
    <sheetView showGridLines="0" workbookViewId="0">
      <pane xSplit="2" ySplit="8" topLeftCell="C9" activePane="bottomRight" state="frozen"/>
      <selection pane="topRight" activeCell="C1" sqref="C1"/>
      <selection pane="bottomLeft" activeCell="A9" sqref="A9"/>
      <selection pane="bottomRight" activeCell="C9" sqref="C9"/>
    </sheetView>
  </sheetViews>
  <sheetFormatPr defaultRowHeight="14.4" x14ac:dyDescent="0.3"/>
  <cols>
    <col min="1" max="1" width="5.77734375" customWidth="1"/>
    <col min="2" max="2" width="30.77734375" customWidth="1"/>
    <col min="3" max="10" width="15.77734375" customWidth="1"/>
  </cols>
  <sheetData>
    <row r="2" spans="2:7" ht="18" x14ac:dyDescent="0.35">
      <c r="B2" s="1" t="s">
        <v>78</v>
      </c>
    </row>
    <row r="4" spans="2:7" ht="31.95" customHeight="1" x14ac:dyDescent="0.3">
      <c r="C4" s="30">
        <f>Calc!F6</f>
        <v>11576250</v>
      </c>
      <c r="E4" s="30">
        <f>Calc!F8</f>
        <v>4630500</v>
      </c>
      <c r="G4" s="32">
        <f>Calc!F9</f>
        <v>0.4</v>
      </c>
    </row>
    <row r="5" spans="2:7" ht="16.05" customHeight="1" x14ac:dyDescent="0.3">
      <c r="C5" s="31" t="s">
        <v>79</v>
      </c>
      <c r="E5" s="31" t="s">
        <v>80</v>
      </c>
      <c r="G5" s="31" t="s">
        <v>81</v>
      </c>
    </row>
    <row r="6" spans="2:7" ht="7.95" customHeight="1" x14ac:dyDescent="0.3"/>
    <row r="7" spans="2:7" x14ac:dyDescent="0.3">
      <c r="C7" s="23" t="s">
        <v>62</v>
      </c>
      <c r="D7" s="23"/>
      <c r="E7" s="23"/>
      <c r="F7" s="23"/>
    </row>
    <row r="8" spans="2:7" ht="30" customHeight="1" x14ac:dyDescent="0.3">
      <c r="B8" s="10" t="s">
        <v>82</v>
      </c>
      <c r="C8" s="24" t="s">
        <v>64</v>
      </c>
      <c r="D8" s="24" t="s">
        <v>65</v>
      </c>
      <c r="E8" s="24" t="s">
        <v>66</v>
      </c>
      <c r="F8" s="24" t="s">
        <v>67</v>
      </c>
    </row>
    <row r="9" spans="2:7" x14ac:dyDescent="0.3">
      <c r="B9" s="11" t="s">
        <v>74</v>
      </c>
      <c r="C9" s="27">
        <f>Calc!C6</f>
        <v>10000000</v>
      </c>
      <c r="D9" s="27">
        <f>Calc!D6</f>
        <v>10500000</v>
      </c>
      <c r="E9" s="27">
        <f>Calc!E6</f>
        <v>11025000</v>
      </c>
      <c r="F9" s="27">
        <f>Calc!F6</f>
        <v>11576250</v>
      </c>
    </row>
    <row r="10" spans="2:7" x14ac:dyDescent="0.3">
      <c r="B10" s="11" t="s">
        <v>76</v>
      </c>
      <c r="C10" s="27">
        <f>Calc!C8</f>
        <v>4000000</v>
      </c>
      <c r="D10" s="27">
        <f>Calc!D8</f>
        <v>4200000</v>
      </c>
      <c r="E10" s="27">
        <f>Calc!E8</f>
        <v>4410000</v>
      </c>
      <c r="F10" s="27">
        <f>Calc!F8</f>
        <v>4630500</v>
      </c>
    </row>
    <row r="11" spans="2:7" x14ac:dyDescent="0.3">
      <c r="B11" s="11" t="s">
        <v>77</v>
      </c>
      <c r="C11" s="33">
        <f>Calc!C9</f>
        <v>0.4</v>
      </c>
      <c r="D11" s="33">
        <f>Calc!D9</f>
        <v>0.4</v>
      </c>
      <c r="E11" s="33">
        <f>Calc!E9</f>
        <v>0.4</v>
      </c>
      <c r="F11" s="33">
        <f>Calc!F9</f>
        <v>0.4</v>
      </c>
    </row>
    <row r="12" spans="2:7" ht="7.95" customHeight="1" x14ac:dyDescent="0.3"/>
    <row r="13" spans="2:7" x14ac:dyDescent="0.3">
      <c r="B13" s="34" t="s">
        <v>83</v>
      </c>
      <c r="C13" s="35">
        <f>SUM(C9:F9)</f>
        <v>43101250</v>
      </c>
    </row>
    <row r="15" spans="2:7" x14ac:dyDescent="0.3">
      <c r="B15" s="20" t="s">
        <v>60</v>
      </c>
    </row>
  </sheetData>
  <mergeCells count="1">
    <mergeCell ref="C7:F7"/>
  </mergeCells>
  <conditionalFormatting sqref="B9:F11">
    <cfRule type="expression" dxfId="1" priority="1" stopIfTrue="1">
      <formula>MOD(ROW(),2)=0</formula>
    </cfRule>
  </conditionalFormatting>
  <pageMargins left="0.7" right="0.7" top="0.75" bottom="0.75" header="0.3" footer="0.3"/>
  <pageSetup fitToHeight="0" orientation="landscape" r:id="rId1"/>
  <headerFooter>
    <oddHeader>&amp;C&amp;"Calibri,Bold"&amp;12Output Summary</oddHeader>
    <oddFooter>&amp;L&amp;F&amp;C&amp;D  ·  v1.2  ·  As of 05/29/2026&amp;R&amp;P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EFFA5-7080-4D20-A5E3-86D0AA1E9046}">
  <sheetPr>
    <tabColor rgb="FFA5A5A5"/>
  </sheetPr>
  <dimension ref="B2:C12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4.4" x14ac:dyDescent="0.3"/>
  <cols>
    <col min="1" max="1" width="5.77734375" customWidth="1"/>
    <col min="2" max="2" width="30.77734375" customWidth="1"/>
    <col min="3" max="3" width="25.77734375" customWidth="1"/>
    <col min="4" max="10" width="15.77734375" customWidth="1"/>
  </cols>
  <sheetData>
    <row r="2" spans="2:3" ht="18" x14ac:dyDescent="0.35">
      <c r="B2" s="1" t="s">
        <v>84</v>
      </c>
    </row>
    <row r="5" spans="2:3" x14ac:dyDescent="0.3">
      <c r="B5" s="10" t="s">
        <v>85</v>
      </c>
      <c r="C5" s="10" t="s">
        <v>86</v>
      </c>
    </row>
    <row r="6" spans="2:3" x14ac:dyDescent="0.3">
      <c r="B6" s="11" t="s">
        <v>87</v>
      </c>
      <c r="C6" s="36">
        <v>0.1</v>
      </c>
    </row>
    <row r="7" spans="2:3" x14ac:dyDescent="0.3">
      <c r="B7" s="11" t="s">
        <v>88</v>
      </c>
      <c r="C7" s="36">
        <v>0.21</v>
      </c>
    </row>
    <row r="8" spans="2:3" x14ac:dyDescent="0.3">
      <c r="B8" s="11" t="s">
        <v>89</v>
      </c>
      <c r="C8" s="36">
        <v>8.5000000000000006E-2</v>
      </c>
    </row>
    <row r="9" spans="2:3" x14ac:dyDescent="0.3">
      <c r="B9" s="11" t="s">
        <v>90</v>
      </c>
      <c r="C9" s="36">
        <v>2.5000000000000001E-2</v>
      </c>
    </row>
    <row r="10" spans="2:3" x14ac:dyDescent="0.3">
      <c r="B10" s="11" t="s">
        <v>91</v>
      </c>
      <c r="C10" s="5">
        <v>1</v>
      </c>
    </row>
    <row r="11" spans="2:3" x14ac:dyDescent="0.3">
      <c r="B11" s="11" t="s">
        <v>92</v>
      </c>
      <c r="C11" s="5">
        <v>12</v>
      </c>
    </row>
    <row r="12" spans="2:3" x14ac:dyDescent="0.3">
      <c r="B12" s="11" t="s">
        <v>93</v>
      </c>
      <c r="C12" s="5">
        <v>252</v>
      </c>
    </row>
  </sheetData>
  <conditionalFormatting sqref="B6:C30">
    <cfRule type="expression" dxfId="0" priority="1" stopIfTrue="1">
      <formula>MOD(ROW(),2)=0</formula>
    </cfRule>
  </conditionalFormatting>
  <pageMargins left="0.7" right="0.7" top="0.75" bottom="0.75" header="0.3" footer="0.3"/>
  <pageSetup orientation="portrait" r:id="rId1"/>
  <headerFooter>
    <oddHeader>&amp;C&amp;"Calibri,Bold"&amp;12Reference</oddHeader>
    <oddFooter>&amp;L&amp;F&amp;C&amp;D  ·  v1.2  ·  As of 05/29/2026&amp;R&amp;P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14</vt:i4>
      </vt:variant>
    </vt:vector>
  </HeadingPairs>
  <TitlesOfParts>
    <vt:vector size="19" baseType="lpstr">
      <vt:lpstr>Cover</vt:lpstr>
      <vt:lpstr>Inputs</vt:lpstr>
      <vt:lpstr>Calc</vt:lpstr>
      <vt:lpstr>Output</vt:lpstr>
      <vt:lpstr>Reference</vt:lpstr>
      <vt:lpstr>AsOfDate</vt:lpstr>
      <vt:lpstr>Discount_Rate</vt:lpstr>
      <vt:lpstr>FY_End</vt:lpstr>
      <vt:lpstr>FY_Start</vt:lpstr>
      <vt:lpstr>Growth_Rate</vt:lpstr>
      <vt:lpstr>Inflation_Rate</vt:lpstr>
      <vt:lpstr>Calc!Print_Titles</vt:lpstr>
      <vt:lpstr>Inputs!Print_Titles</vt:lpstr>
      <vt:lpstr>Output!Print_Titles</vt:lpstr>
      <vt:lpstr>ReportingCurrency</vt:lpstr>
      <vt:lpstr>Revenue_Input</vt:lpstr>
      <vt:lpstr>Scale</vt:lpstr>
      <vt:lpstr>Tax_Rate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Kim, Andrew</dc:creator>
  <cp:lastModifiedBy>Kim, Andrew</cp:lastModifiedBy>
  <dcterms:created xsi:type="dcterms:W3CDTF">2026-05-29T21:54:03Z</dcterms:created>
  <dcterms:modified xsi:type="dcterms:W3CDTF">2026-05-29T21:54:22Z</dcterms:modified>
</cp:coreProperties>
</file>