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\fbm-standards\"/>
    </mc:Choice>
  </mc:AlternateContent>
  <xr:revisionPtr revIDLastSave="0" documentId="8_{CCE9C3E3-352E-480E-9E01-CAC49D1A16B8}" xr6:coauthVersionLast="47" xr6:coauthVersionMax="47" xr10:uidLastSave="{00000000-0000-0000-0000-000000000000}"/>
  <bookViews>
    <workbookView xWindow="-108" yWindow="-108" windowWidth="46296" windowHeight="25416" xr2:uid="{E7042311-6741-4388-871D-F9908931CBC2}"/>
  </bookViews>
  <sheets>
    <sheet name="Cover" sheetId="1" r:id="rId1"/>
    <sheet name="Inputs" sheetId="2" r:id="rId2"/>
    <sheet name="Calc" sheetId="3" r:id="rId3"/>
    <sheet name="Output" sheetId="4" r:id="rId4"/>
    <sheet name="Reference" sheetId="5" r:id="rId5"/>
  </sheets>
  <definedNames>
    <definedName name="_xlnm._FilterDatabase" localSheetId="1" hidden="1">Inputs!$B$5:$F$5</definedName>
    <definedName name="Discount_Rate">Reference!$C$6</definedName>
    <definedName name="Growth_Rate">Inputs!$C$7:$F$7</definedName>
    <definedName name="_xlnm.Print_Titles" localSheetId="2">Calc!$5:$5</definedName>
    <definedName name="_xlnm.Print_Titles" localSheetId="1">Inputs!$5:$5</definedName>
    <definedName name="_xlnm.Print_Titles" localSheetId="3">Output!$5:$5</definedName>
    <definedName name="Revenue_Input">Inputs!$C$6:$F$6</definedName>
    <definedName name="Tax_Rate">Reference!$C$7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4" l="1"/>
  <c r="F8" i="4"/>
  <c r="E8" i="4"/>
  <c r="D8" i="4"/>
  <c r="C8" i="4"/>
  <c r="F7" i="4"/>
  <c r="E7" i="4"/>
  <c r="D7" i="4"/>
  <c r="C7" i="4"/>
  <c r="F6" i="4"/>
  <c r="E6" i="4"/>
  <c r="D6" i="4"/>
  <c r="C6" i="4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</calcChain>
</file>

<file path=xl/sharedStrings.xml><?xml version="1.0" encoding="utf-8"?>
<sst xmlns="http://schemas.openxmlformats.org/spreadsheetml/2006/main" count="76" uniqueCount="64">
  <si>
    <t>FBM Excel Formatting Standard</t>
  </si>
  <si>
    <t>[Workbook Title]</t>
  </si>
  <si>
    <t>Prepared by:</t>
  </si>
  <si>
    <t>Department:</t>
  </si>
  <si>
    <t>Date:</t>
  </si>
  <si>
    <t>Version:</t>
  </si>
  <si>
    <t>File location:</t>
  </si>
  <si>
    <t>Purpose:</t>
  </si>
  <si>
    <t>Andrew Kim</t>
  </si>
  <si>
    <t>Operations FP&amp;A</t>
  </si>
  <si>
    <t>Standard FBM workbook template with cell styles, named ranges, and example sheets.</t>
  </si>
  <si>
    <t>Legend</t>
  </si>
  <si>
    <t>Cell Style</t>
  </si>
  <si>
    <t>Example</t>
  </si>
  <si>
    <t>Use For</t>
  </si>
  <si>
    <t>FBM Input</t>
  </si>
  <si>
    <t>Hardcoded inputs (blue text)</t>
  </si>
  <si>
    <t>FBM Formula</t>
  </si>
  <si>
    <t>Calculated formulas (black text)</t>
  </si>
  <si>
    <t>FBM Link</t>
  </si>
  <si>
    <t>Links from other sheets (green text)</t>
  </si>
  <si>
    <t>FBM External</t>
  </si>
  <si>
    <t>External file links (red text)</t>
  </si>
  <si>
    <t>FBM Assumption</t>
  </si>
  <si>
    <t>Key assumption (yellow fill, blue bold)</t>
  </si>
  <si>
    <t>Tab Color Coding</t>
  </si>
  <si>
    <t>Color</t>
  </si>
  <si>
    <t>Purpose</t>
  </si>
  <si>
    <t>Example Sheet</t>
  </si>
  <si>
    <t>Blue</t>
  </si>
  <si>
    <t>Inputs / data entry</t>
  </si>
  <si>
    <t>Inputs</t>
  </si>
  <si>
    <t>Green</t>
  </si>
  <si>
    <t>Outputs / results / summaries</t>
  </si>
  <si>
    <t>Output</t>
  </si>
  <si>
    <t>Gray</t>
  </si>
  <si>
    <t>Reference / lookup tables</t>
  </si>
  <si>
    <t>Reference</t>
  </si>
  <si>
    <t>Blue text cells are user-editable. Do not overwrite black formula cells.</t>
  </si>
  <si>
    <t>Item</t>
  </si>
  <si>
    <t>FY2026</t>
  </si>
  <si>
    <t>FY2027</t>
  </si>
  <si>
    <t>FY2028</t>
  </si>
  <si>
    <t>FY2029</t>
  </si>
  <si>
    <t>Revenue ($)</t>
  </si>
  <si>
    <t>Growth rate (%)</t>
  </si>
  <si>
    <t>COGS ($)</t>
  </si>
  <si>
    <t>Headcount (#)</t>
  </si>
  <si>
    <t>Calculations</t>
  </si>
  <si>
    <t>Metric</t>
  </si>
  <si>
    <t>Revenue</t>
  </si>
  <si>
    <t>COGS</t>
  </si>
  <si>
    <t>Gross Profit</t>
  </si>
  <si>
    <t>Gross Margin %</t>
  </si>
  <si>
    <t>Output Summary</t>
  </si>
  <si>
    <t>KPI</t>
  </si>
  <si>
    <t>Total Revenue (4Y)</t>
  </si>
  <si>
    <t>Reference / Lookup Tables</t>
  </si>
  <si>
    <t>Key</t>
  </si>
  <si>
    <t>Value</t>
  </si>
  <si>
    <t>Discount rate</t>
  </si>
  <si>
    <t>Tax rate</t>
  </si>
  <si>
    <t>FY start month</t>
  </si>
  <si>
    <t>Working days/yr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</si>
</sst>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164" formatCode="0.0%;\(0.0%\);&quot;-&quot;"/>
    <numFmt numFmtId="165" formatCode="mm/dd/yyyy"/>
  </numFmts>
  <fonts count="17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FF"/>
      <name val="Calibri"/>
      <family val="2"/>
    </font>
    <font>
      <sz val="9"/>
      <color rgb="FF000000"/>
      <name val="Calibri"/>
      <family val="2"/>
    </font>
    <font>
      <sz val="9"/>
      <color rgb="FF008000"/>
      <name val="Calibri"/>
      <family val="2"/>
    </font>
    <font>
      <sz val="9"/>
      <color rgb="FFFF0000"/>
      <name val="Calibri"/>
      <family val="2"/>
    </font>
    <font>
      <b/>
      <sz val="9"/>
      <color rgb="FF0000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93254"/>
      <name val="Calibri"/>
      <family val="2"/>
    </font>
    <font>
      <b/>
      <sz val="14"/>
      <color rgb="FF093254"/>
      <name val="Rockwell"/>
      <family val="1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20"/>
      <color rgb="FF093254"/>
      <name val="Rockwell"/>
      <family val="1"/>
    </font>
    <font>
      <sz val="14"/>
      <color rgb="FF636466"/>
      <name val="Calibri"/>
      <family val="2"/>
    </font>
    <font>
      <b/>
      <sz val="11"/>
      <color rgb="FFFFFFFF"/>
      <name val="Aptos Narrow"/>
      <family val="2"/>
      <scheme val="minor"/>
    </font>
    <font>
      <i/>
      <sz val="9"/>
      <color rgb="FF63646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9325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005E34"/>
        <bgColor indexed="64"/>
      </patternFill>
    </fill>
    <fill>
      <patternFill patternType="solid">
        <fgColor rgb="FFA5A5A5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41" fontId="2" fillId="0" borderId="0"/>
    <xf numFmtId="42" fontId="2" fillId="0" borderId="0"/>
    <xf numFmtId="164" fontId="2" fillId="0" borderId="0"/>
    <xf numFmtId="41" fontId="3" fillId="0" borderId="0"/>
    <xf numFmtId="42" fontId="3" fillId="0" borderId="0"/>
    <xf numFmtId="164" fontId="3" fillId="0" borderId="0"/>
    <xf numFmtId="41" fontId="4" fillId="0" borderId="0"/>
    <xf numFmtId="41" fontId="5" fillId="0" borderId="0"/>
    <xf numFmtId="0" fontId="6" fillId="2" borderId="0"/>
    <xf numFmtId="0" fontId="7" fillId="3" borderId="1">
      <alignment horizontal="center" vertical="center"/>
    </xf>
    <xf numFmtId="0" fontId="9" fillId="4" borderId="1">
      <alignment horizontal="left"/>
    </xf>
    <xf numFmtId="0" fontId="10" fillId="0" borderId="0"/>
    <xf numFmtId="41" fontId="12" fillId="0" borderId="0"/>
    <xf numFmtId="165" fontId="3" fillId="0" borderId="0"/>
    <xf numFmtId="49" fontId="3" fillId="0" borderId="0">
      <alignment horizontal="center"/>
    </xf>
  </cellStyleXfs>
  <cellXfs count="29">
    <xf numFmtId="0" fontId="0" fillId="0" borderId="0" xfId="0"/>
    <xf numFmtId="0" fontId="10" fillId="0" borderId="0" xfId="12"/>
    <xf numFmtId="0" fontId="13" fillId="0" borderId="0" xfId="12" applyFont="1"/>
    <xf numFmtId="0" fontId="14" fillId="0" borderId="0" xfId="0" applyFont="1"/>
    <xf numFmtId="0" fontId="8" fillId="0" borderId="0" xfId="0" applyFont="1"/>
    <xf numFmtId="41" fontId="2" fillId="0" borderId="0" xfId="1"/>
    <xf numFmtId="165" fontId="2" fillId="0" borderId="0" xfId="14" applyFont="1"/>
    <xf numFmtId="0" fontId="9" fillId="4" borderId="2" xfId="11" applyBorder="1">
      <alignment horizontal="left"/>
    </xf>
    <xf numFmtId="0" fontId="9" fillId="4" borderId="0" xfId="11" applyBorder="1">
      <alignment horizontal="left"/>
    </xf>
    <xf numFmtId="0" fontId="7" fillId="3" borderId="1" xfId="10">
      <alignment horizontal="center" vertical="center"/>
    </xf>
    <xf numFmtId="0" fontId="1" fillId="0" borderId="0" xfId="0" applyFont="1"/>
    <xf numFmtId="41" fontId="3" fillId="0" borderId="0" xfId="4"/>
    <xf numFmtId="41" fontId="4" fillId="0" borderId="0" xfId="7"/>
    <xf numFmtId="41" fontId="5" fillId="0" borderId="0" xfId="8"/>
    <xf numFmtId="164" fontId="6" fillId="2" borderId="0" xfId="9" applyNumberFormat="1"/>
    <xf numFmtId="0" fontId="15" fillId="5" borderId="0" xfId="0" applyFont="1" applyFill="1"/>
    <xf numFmtId="0" fontId="15" fillId="6" borderId="0" xfId="0" applyFont="1" applyFill="1"/>
    <xf numFmtId="0" fontId="15" fillId="7" borderId="0" xfId="0" applyFont="1" applyFill="1"/>
    <xf numFmtId="0" fontId="16" fillId="0" borderId="0" xfId="0" applyFont="1"/>
    <xf numFmtId="0" fontId="7" fillId="3" borderId="1" xfId="10" applyAlignment="1">
      <alignment horizontal="center" vertical="center"/>
    </xf>
    <xf numFmtId="42" fontId="2" fillId="0" borderId="0" xfId="2"/>
    <xf numFmtId="164" fontId="2" fillId="0" borderId="0" xfId="3"/>
    <xf numFmtId="42" fontId="4" fillId="0" borderId="0" xfId="7" applyNumberFormat="1"/>
    <xf numFmtId="42" fontId="3" fillId="0" borderId="0" xfId="5"/>
    <xf numFmtId="164" fontId="3" fillId="0" borderId="0" xfId="6"/>
    <xf numFmtId="164" fontId="4" fillId="0" borderId="0" xfId="7" applyNumberFormat="1"/>
    <xf numFmtId="0" fontId="11" fillId="0" borderId="0" xfId="0" applyFont="1"/>
    <xf numFmtId="42" fontId="12" fillId="0" borderId="0" xfId="13" applyNumberFormat="1"/>
    <xf numFmtId="164" fontId="2" fillId="0" borderId="0" xfId="1" applyNumberFormat="1"/>
  </cellXfs>
  <cellStyles count="16">
    <cellStyle name="FBM Assumption" xfId="9" xr:uid="{96C0EE95-5D79-470A-A736-06E41E8EBA06}"/>
    <cellStyle name="FBM Date" xfId="14" xr:uid="{86DF2E66-800A-4CB8-A746-8FD091E01773}"/>
    <cellStyle name="FBM External" xfId="8" xr:uid="{BB651C1B-C3A8-4421-84D7-C36E352C4280}"/>
    <cellStyle name="FBM Formula" xfId="4" xr:uid="{6865716C-3D78-4606-B6AF-60C25DB1B753}"/>
    <cellStyle name="FBM Formula $" xfId="5" xr:uid="{F1B63EAA-BF2E-4A31-805B-F3BEA1E008D4}"/>
    <cellStyle name="FBM Formula %" xfId="6" xr:uid="{88F462EA-45D9-4C7C-9776-B12F55708821}"/>
    <cellStyle name="FBM Header" xfId="10" xr:uid="{2B39E0B0-02F6-49DD-BBC5-908374B9444F}"/>
    <cellStyle name="FBM Input" xfId="1" xr:uid="{AC8EB86F-5856-4D7F-8BE8-DE17A89F9AE9}"/>
    <cellStyle name="FBM Input $" xfId="2" xr:uid="{48277B8E-98B0-4B81-8A78-D1A1BA6359F1}"/>
    <cellStyle name="FBM Input %" xfId="3" xr:uid="{04F86235-49DF-4C06-8F27-1A6E770FBE07}"/>
    <cellStyle name="FBM Link" xfId="7" xr:uid="{47B3A732-7CC6-4938-92FC-5D37D9B8B3E1}"/>
    <cellStyle name="FBM Subheader" xfId="11" xr:uid="{85DA115A-7BD4-4BFD-8D41-E70432FD9E00}"/>
    <cellStyle name="FBM Title" xfId="12" xr:uid="{74C57A3B-176F-4A45-9518-9E03227B0671}"/>
    <cellStyle name="FBM Total" xfId="13" xr:uid="{B9D1CC19-ECF3-49F7-BFE3-18DEF5ED4E6C}"/>
    <cellStyle name="FBM Year" xfId="15" xr:uid="{635E5135-FB9D-4C7E-BDE4-784FC5E3D9F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71120</xdr:rowOff>
    </xdr:from>
    <xdr:to>
      <xdr:col>3</xdr:col>
      <xdr:colOff>360680</xdr:colOff>
      <xdr:row>7</xdr:row>
      <xdr:rowOff>116840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2E07D7-4D47-EB14-7025-F74FD4546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54000"/>
          <a:ext cx="25400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BDCA-C08B-4CF9-A0CC-FE0EE0AC2032}">
  <sheetPr>
    <tabColor rgb="FF093254"/>
  </sheetPr>
  <dimension ref="B8:D32"/>
  <sheetViews>
    <sheetView tabSelected="1" workbookViewId="0"/>
  </sheetViews>
  <sheetFormatPr defaultRowHeight="14.4" x14ac:dyDescent="0.3"/>
  <cols>
    <col min="1" max="1" width="5.77734375" customWidth="1"/>
    <col min="2" max="10" width="15.77734375" customWidth="1"/>
  </cols>
  <sheetData>
    <row r="8" spans="2:3" ht="25.8" x14ac:dyDescent="0.5">
      <c r="B8" s="2" t="s">
        <v>0</v>
      </c>
    </row>
    <row r="10" spans="2:3" ht="18" x14ac:dyDescent="0.35">
      <c r="B10" s="3" t="s">
        <v>1</v>
      </c>
    </row>
    <row r="12" spans="2:3" x14ac:dyDescent="0.3">
      <c r="B12" s="4" t="s">
        <v>2</v>
      </c>
      <c r="C12" s="5" t="s">
        <v>8</v>
      </c>
    </row>
    <row r="13" spans="2:3" x14ac:dyDescent="0.3">
      <c r="B13" s="4" t="s">
        <v>3</v>
      </c>
      <c r="C13" s="5" t="s">
        <v>9</v>
      </c>
    </row>
    <row r="14" spans="2:3" x14ac:dyDescent="0.3">
      <c r="B14" s="4" t="s">
        <v>4</v>
      </c>
      <c r="C14" s="6">
        <v>46163</v>
      </c>
    </row>
    <row r="15" spans="2:3" x14ac:dyDescent="0.3">
      <c r="B15" s="4" t="s">
        <v>5</v>
      </c>
      <c r="C15" s="5">
        <v>1</v>
      </c>
    </row>
    <row r="16" spans="2:3" x14ac:dyDescent="0.3">
      <c r="B16" s="4" t="s">
        <v>6</v>
      </c>
      <c r="C16" s="5"/>
    </row>
    <row r="17" spans="2:4" x14ac:dyDescent="0.3">
      <c r="B17" s="4" t="s">
        <v>7</v>
      </c>
      <c r="C17" s="5" t="s">
        <v>10</v>
      </c>
    </row>
    <row r="20" spans="2:4" x14ac:dyDescent="0.3">
      <c r="B20" s="7" t="s">
        <v>11</v>
      </c>
      <c r="C20" s="8"/>
      <c r="D20" s="8"/>
    </row>
    <row r="21" spans="2:4" x14ac:dyDescent="0.3">
      <c r="B21" s="9" t="s">
        <v>12</v>
      </c>
      <c r="C21" s="9" t="s">
        <v>13</v>
      </c>
      <c r="D21" s="9" t="s">
        <v>14</v>
      </c>
    </row>
    <row r="22" spans="2:4" x14ac:dyDescent="0.3">
      <c r="B22" t="s">
        <v>15</v>
      </c>
      <c r="C22" s="5">
        <v>1000</v>
      </c>
      <c r="D22" s="10" t="s">
        <v>16</v>
      </c>
    </row>
    <row r="23" spans="2:4" x14ac:dyDescent="0.3">
      <c r="B23" t="s">
        <v>17</v>
      </c>
      <c r="C23" s="11">
        <v>2000</v>
      </c>
      <c r="D23" s="10" t="s">
        <v>18</v>
      </c>
    </row>
    <row r="24" spans="2:4" x14ac:dyDescent="0.3">
      <c r="B24" t="s">
        <v>19</v>
      </c>
      <c r="C24" s="12">
        <v>3000</v>
      </c>
      <c r="D24" s="10" t="s">
        <v>20</v>
      </c>
    </row>
    <row r="25" spans="2:4" x14ac:dyDescent="0.3">
      <c r="B25" t="s">
        <v>21</v>
      </c>
      <c r="C25" s="13">
        <v>4000</v>
      </c>
      <c r="D25" s="10" t="s">
        <v>22</v>
      </c>
    </row>
    <row r="26" spans="2:4" x14ac:dyDescent="0.3">
      <c r="B26" t="s">
        <v>23</v>
      </c>
      <c r="C26" s="14">
        <v>0.1</v>
      </c>
      <c r="D26" s="10" t="s">
        <v>24</v>
      </c>
    </row>
    <row r="28" spans="2:4" x14ac:dyDescent="0.3">
      <c r="B28" s="7" t="s">
        <v>25</v>
      </c>
      <c r="C28" s="8"/>
      <c r="D28" s="8"/>
    </row>
    <row r="29" spans="2:4" x14ac:dyDescent="0.3">
      <c r="B29" s="9" t="s">
        <v>26</v>
      </c>
      <c r="C29" s="9" t="s">
        <v>27</v>
      </c>
      <c r="D29" s="9" t="s">
        <v>28</v>
      </c>
    </row>
    <row r="30" spans="2:4" x14ac:dyDescent="0.3">
      <c r="B30" s="15" t="s">
        <v>29</v>
      </c>
      <c r="C30" t="s">
        <v>30</v>
      </c>
      <c r="D30" t="s">
        <v>31</v>
      </c>
    </row>
    <row r="31" spans="2:4" x14ac:dyDescent="0.3">
      <c r="B31" s="16" t="s">
        <v>32</v>
      </c>
      <c r="C31" t="s">
        <v>33</v>
      </c>
      <c r="D31" t="s">
        <v>34</v>
      </c>
    </row>
    <row r="32" spans="2:4" x14ac:dyDescent="0.3">
      <c r="B32" s="17" t="s">
        <v>35</v>
      </c>
      <c r="C32" t="s">
        <v>36</v>
      </c>
      <c r="D32" t="s">
        <v>37</v>
      </c>
    </row>
  </sheetData>
  <mergeCells count="2">
    <mergeCell ref="B20:D20"/>
    <mergeCell ref="B28:D28"/>
  </mergeCells>
  <pageMargins left="0.5" right="0.5" top="0.5" bottom="0.5" header="0.3" footer="0.3"/>
  <pageSetup orientation="portrait" horizontalDpi="1200" verticalDpi="1200" r:id="rId1"/>
  <headerFooter>
    <oddHeader>&amp;C&amp;"Calibri,Bold"&amp;14FBM Excel Formatting Standard</oddHeader>
    <oddFooter>&amp;R&amp;P of &amp;N&amp;L&amp;F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E1B6-B6AC-46DF-9244-4A0D22141E59}">
  <sheetPr>
    <tabColor rgb="FF1F4E79"/>
    <pageSetUpPr fitToPage="1"/>
  </sheetPr>
  <dimension ref="B2:F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4" x14ac:dyDescent="0.3"/>
  <cols>
    <col min="1" max="1" width="5.77734375" customWidth="1"/>
    <col min="2" max="2" width="30.77734375" customWidth="1"/>
    <col min="3" max="10" width="15.77734375" customWidth="1"/>
  </cols>
  <sheetData>
    <row r="2" spans="2:6" ht="18" x14ac:dyDescent="0.35">
      <c r="B2" s="1" t="s">
        <v>31</v>
      </c>
    </row>
    <row r="3" spans="2:6" x14ac:dyDescent="0.3">
      <c r="B3" s="18" t="s">
        <v>38</v>
      </c>
    </row>
    <row r="5" spans="2:6" x14ac:dyDescent="0.3">
      <c r="B5" s="9" t="s">
        <v>39</v>
      </c>
      <c r="C5" s="19" t="s">
        <v>40</v>
      </c>
      <c r="D5" s="19" t="s">
        <v>41</v>
      </c>
      <c r="E5" s="19" t="s">
        <v>42</v>
      </c>
      <c r="F5" s="19" t="s">
        <v>43</v>
      </c>
    </row>
    <row r="6" spans="2:6" x14ac:dyDescent="0.3">
      <c r="B6" s="10" t="s">
        <v>44</v>
      </c>
      <c r="C6" s="20">
        <v>10000000</v>
      </c>
      <c r="D6" s="20">
        <v>10500000</v>
      </c>
      <c r="E6" s="20">
        <v>11025000</v>
      </c>
      <c r="F6" s="20">
        <v>11576250</v>
      </c>
    </row>
    <row r="7" spans="2:6" x14ac:dyDescent="0.3">
      <c r="B7" s="10" t="s">
        <v>45</v>
      </c>
      <c r="C7" s="21">
        <v>0.05</v>
      </c>
      <c r="D7" s="21">
        <v>0.05</v>
      </c>
      <c r="E7" s="21">
        <v>0.05</v>
      </c>
      <c r="F7" s="21">
        <v>0.05</v>
      </c>
    </row>
    <row r="8" spans="2:6" x14ac:dyDescent="0.3">
      <c r="B8" s="10" t="s">
        <v>46</v>
      </c>
      <c r="C8" s="20">
        <v>6000000</v>
      </c>
      <c r="D8" s="20">
        <v>6300000</v>
      </c>
      <c r="E8" s="20">
        <v>6615000</v>
      </c>
      <c r="F8" s="20">
        <v>6945750</v>
      </c>
    </row>
    <row r="9" spans="2:6" x14ac:dyDescent="0.3">
      <c r="B9" s="10" t="s">
        <v>47</v>
      </c>
      <c r="C9" s="5">
        <v>50</v>
      </c>
      <c r="D9" s="5">
        <v>52</v>
      </c>
      <c r="E9" s="5">
        <v>55</v>
      </c>
      <c r="F9" s="5">
        <v>58</v>
      </c>
    </row>
  </sheetData>
  <autoFilter ref="B5:F5" xr:uid="{F4A7E1B6-B6AC-46DF-9244-4A0D22141E59}"/>
  <pageMargins left="0.5" right="0.5" top="0.75" bottom="0.5" header="0.3" footer="0.3"/>
  <pageSetup fitToHeight="0" orientation="landscape" horizontalDpi="1200" verticalDpi="1200" r:id="rId1"/>
  <headerFooter>
    <oddHeader>&amp;C&amp;"Calibri,Bold"&amp;12Inputs&amp;L&amp;G</oddHeader>
    <oddFooter>&amp;R&amp;P of &amp;N&amp;L&amp;F&amp;C&amp;D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B16E-F0B7-4A0B-988A-3691CE5C5286}">
  <sheetPr>
    <pageSetUpPr fitToPage="1"/>
  </sheetPr>
  <dimension ref="B2:F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4" x14ac:dyDescent="0.3"/>
  <cols>
    <col min="1" max="1" width="5.77734375" customWidth="1"/>
    <col min="2" max="2" width="30.77734375" customWidth="1"/>
    <col min="3" max="10" width="15.77734375" customWidth="1"/>
  </cols>
  <sheetData>
    <row r="2" spans="2:6" ht="18" x14ac:dyDescent="0.35">
      <c r="B2" s="1" t="s">
        <v>48</v>
      </c>
    </row>
    <row r="5" spans="2:6" x14ac:dyDescent="0.3">
      <c r="B5" s="9" t="s">
        <v>49</v>
      </c>
      <c r="C5" s="19" t="s">
        <v>40</v>
      </c>
      <c r="D5" s="19" t="s">
        <v>41</v>
      </c>
      <c r="E5" s="19" t="s">
        <v>42</v>
      </c>
      <c r="F5" s="19" t="s">
        <v>43</v>
      </c>
    </row>
    <row r="6" spans="2:6" x14ac:dyDescent="0.3">
      <c r="B6" s="10" t="s">
        <v>50</v>
      </c>
      <c r="C6" s="22">
        <f>Inputs!C6</f>
        <v>10000000</v>
      </c>
      <c r="D6" s="22">
        <f>Inputs!D6</f>
        <v>10500000</v>
      </c>
      <c r="E6" s="22">
        <f>Inputs!E6</f>
        <v>11025000</v>
      </c>
      <c r="F6" s="22">
        <f>Inputs!F6</f>
        <v>11576250</v>
      </c>
    </row>
    <row r="7" spans="2:6" x14ac:dyDescent="0.3">
      <c r="B7" s="10" t="s">
        <v>51</v>
      </c>
      <c r="C7" s="22">
        <f>Inputs!C8</f>
        <v>6000000</v>
      </c>
      <c r="D7" s="22">
        <f>Inputs!D8</f>
        <v>6300000</v>
      </c>
      <c r="E7" s="22">
        <f>Inputs!E8</f>
        <v>6615000</v>
      </c>
      <c r="F7" s="22">
        <f>Inputs!F8</f>
        <v>6945750</v>
      </c>
    </row>
    <row r="8" spans="2:6" x14ac:dyDescent="0.3">
      <c r="B8" s="10" t="s">
        <v>52</v>
      </c>
      <c r="C8" s="23">
        <f>C6-C7</f>
        <v>4000000</v>
      </c>
      <c r="D8" s="23">
        <f>D6-D7</f>
        <v>4200000</v>
      </c>
      <c r="E8" s="23">
        <f>E6-E7</f>
        <v>4410000</v>
      </c>
      <c r="F8" s="23">
        <f>F6-F7</f>
        <v>4630500</v>
      </c>
    </row>
    <row r="9" spans="2:6" x14ac:dyDescent="0.3">
      <c r="B9" s="10" t="s">
        <v>53</v>
      </c>
      <c r="C9" s="24">
        <f>IFERROR(C8/C6,0)</f>
        <v>0.4</v>
      </c>
      <c r="D9" s="24">
        <f>IFERROR(D8/D6,0)</f>
        <v>0.4</v>
      </c>
      <c r="E9" s="24">
        <f>IFERROR(E8/E6,0)</f>
        <v>0.4</v>
      </c>
      <c r="F9" s="24">
        <f>IFERROR(F8/F6,0)</f>
        <v>0.4</v>
      </c>
    </row>
  </sheetData>
  <conditionalFormatting sqref="C9:F9">
    <cfRule type="iconSet" priority="1">
      <iconSet iconSet="3Arrows">
        <cfvo type="percent" val="0"/>
        <cfvo type="num" val="0.3"/>
        <cfvo type="num" val="0.4"/>
      </iconSet>
    </cfRule>
  </conditionalFormatting>
  <pageMargins left="0.7" right="0.7" top="0.75" bottom="0.75" header="0.3" footer="0.3"/>
  <pageSetup fitToHeight="0" orientation="landscape" horizontalDpi="1200" verticalDpi="1200" r:id="rId1"/>
  <headerFooter>
    <oddHeader>&amp;C&amp;"Calibri,Bold"&amp;12Calculations</oddHeader>
    <oddFooter>&amp;R&amp;P of &amp;N&amp;L&amp;F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AA80-095D-45D2-BB58-6BC6424EF2F5}">
  <sheetPr>
    <tabColor rgb="FF005E34"/>
    <pageSetUpPr fitToPage="1"/>
  </sheetPr>
  <dimension ref="B2:F1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4" x14ac:dyDescent="0.3"/>
  <cols>
    <col min="1" max="1" width="5.77734375" customWidth="1"/>
    <col min="2" max="2" width="30.77734375" customWidth="1"/>
    <col min="3" max="10" width="15.77734375" customWidth="1"/>
  </cols>
  <sheetData>
    <row r="2" spans="2:6" ht="18" x14ac:dyDescent="0.35">
      <c r="B2" s="1" t="s">
        <v>54</v>
      </c>
    </row>
    <row r="5" spans="2:6" x14ac:dyDescent="0.3">
      <c r="B5" s="9" t="s">
        <v>55</v>
      </c>
      <c r="C5" s="19" t="s">
        <v>40</v>
      </c>
      <c r="D5" s="19" t="s">
        <v>41</v>
      </c>
      <c r="E5" s="19" t="s">
        <v>42</v>
      </c>
      <c r="F5" s="19" t="s">
        <v>43</v>
      </c>
    </row>
    <row r="6" spans="2:6" x14ac:dyDescent="0.3">
      <c r="B6" s="10" t="s">
        <v>50</v>
      </c>
      <c r="C6" s="22">
        <f>Calc!C6</f>
        <v>10000000</v>
      </c>
      <c r="D6" s="22">
        <f>Calc!D6</f>
        <v>10500000</v>
      </c>
      <c r="E6" s="22">
        <f>Calc!E6</f>
        <v>11025000</v>
      </c>
      <c r="F6" s="22">
        <f>Calc!F6</f>
        <v>11576250</v>
      </c>
    </row>
    <row r="7" spans="2:6" x14ac:dyDescent="0.3">
      <c r="B7" s="10" t="s">
        <v>52</v>
      </c>
      <c r="C7" s="22">
        <f>Calc!C8</f>
        <v>4000000</v>
      </c>
      <c r="D7" s="22">
        <f>Calc!D8</f>
        <v>4200000</v>
      </c>
      <c r="E7" s="22">
        <f>Calc!E8</f>
        <v>4410000</v>
      </c>
      <c r="F7" s="22">
        <f>Calc!F8</f>
        <v>4630500</v>
      </c>
    </row>
    <row r="8" spans="2:6" x14ac:dyDescent="0.3">
      <c r="B8" s="10" t="s">
        <v>53</v>
      </c>
      <c r="C8" s="25">
        <f>Calc!C9</f>
        <v>0.4</v>
      </c>
      <c r="D8" s="25">
        <f>Calc!D9</f>
        <v>0.4</v>
      </c>
      <c r="E8" s="25">
        <f>Calc!E9</f>
        <v>0.4</v>
      </c>
      <c r="F8" s="25">
        <f>Calc!F9</f>
        <v>0.4</v>
      </c>
    </row>
    <row r="10" spans="2:6" x14ac:dyDescent="0.3">
      <c r="B10" s="26" t="s">
        <v>56</v>
      </c>
      <c r="C10" s="27">
        <f>SUM(C6:F6)</f>
        <v>43101250</v>
      </c>
    </row>
  </sheetData>
  <pageMargins left="0.7" right="0.7" top="0.75" bottom="0.75" header="0.3" footer="0.3"/>
  <pageSetup fitToHeight="0" orientation="landscape" horizontalDpi="1200" verticalDpi="1200" r:id="rId1"/>
  <headerFooter>
    <oddHeader>&amp;C&amp;"Calibri,Bold"&amp;12Output Summary</oddHeader>
    <oddFooter>&amp;R&amp;P of &amp;N&amp;L&amp;F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41F3-0E79-4946-8276-4E956244ABE5}">
  <sheetPr>
    <tabColor rgb="FFA5A5A5"/>
  </sheetPr>
  <dimension ref="B2:C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4" x14ac:dyDescent="0.3"/>
  <cols>
    <col min="1" max="1" width="5.77734375" customWidth="1"/>
    <col min="2" max="2" width="30.77734375" customWidth="1"/>
    <col min="3" max="3" width="25.77734375" customWidth="1"/>
    <col min="4" max="10" width="15.77734375" customWidth="1"/>
  </cols>
  <sheetData>
    <row r="2" spans="2:3" ht="18" x14ac:dyDescent="0.35">
      <c r="B2" s="1" t="s">
        <v>57</v>
      </c>
    </row>
    <row r="5" spans="2:3" x14ac:dyDescent="0.3">
      <c r="B5" s="9" t="s">
        <v>58</v>
      </c>
      <c r="C5" s="9" t="s">
        <v>59</v>
      </c>
    </row>
    <row r="6" spans="2:3" x14ac:dyDescent="0.3">
      <c r="B6" s="10" t="s">
        <v>60</v>
      </c>
      <c r="C6" s="28">
        <v>0.1</v>
      </c>
    </row>
    <row r="7" spans="2:3" x14ac:dyDescent="0.3">
      <c r="B7" s="10" t="s">
        <v>61</v>
      </c>
      <c r="C7" s="28">
        <v>0.21</v>
      </c>
    </row>
    <row r="8" spans="2:3" x14ac:dyDescent="0.3">
      <c r="B8" s="10" t="s">
        <v>62</v>
      </c>
      <c r="C8" s="5">
        <v>1</v>
      </c>
    </row>
    <row r="9" spans="2:3" x14ac:dyDescent="0.3">
      <c r="B9" s="10" t="s">
        <v>63</v>
      </c>
      <c r="C9" s="5">
        <v>252</v>
      </c>
    </row>
  </sheetData>
  <pageMargins left="0.7" right="0.7" top="0.75" bottom="0.75" header="0.3" footer="0.3"/>
  <pageSetup orientation="portrait" horizontalDpi="1200" verticalDpi="1200" r:id="rId1"/>
  <headerFooter>
    <oddHeader>&amp;C&amp;"Calibri,Bold"&amp;12Reference</oddHeader>
    <oddFooter>&amp;R&amp;P of &amp;N&amp;L&amp;F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Cover</vt:lpstr>
      <vt:lpstr>Inputs</vt:lpstr>
      <vt:lpstr>Calc</vt:lpstr>
      <vt:lpstr>Output</vt:lpstr>
      <vt:lpstr>Reference</vt:lpstr>
      <vt:lpstr>Discount_Rate</vt:lpstr>
      <vt:lpstr>Growth_Rate</vt:lpstr>
      <vt:lpstr>Calc!Print_Titles</vt:lpstr>
      <vt:lpstr>Inputs!Print_Titles</vt:lpstr>
      <vt:lpstr>Output!Print_Titles</vt:lpstr>
      <vt:lpstr>Revenue_Input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Andrew</dc:creator>
  <cp:lastModifiedBy>Kim, Andrew</cp:lastModifiedBy>
  <dcterms:created xsi:type="dcterms:W3CDTF">2026-05-21T17:33:03Z</dcterms:created>
  <dcterms:modified xsi:type="dcterms:W3CDTF">2026-05-21T17:33:10Z</dcterms:modified>
</cp:coreProperties>
</file>